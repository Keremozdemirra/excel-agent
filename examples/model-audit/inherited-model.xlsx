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cratch" sheetId="5" state="visible" r:id="rId5"/>
  </sheets>
  <definedNames>
    <definedName name="Eski_Ciro">Revenue!#REF!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FY2025 plan — assumptions</t>
        </is>
      </c>
    </row>
    <row r="2">
      <c r="A2" t="inlineStr">
        <is>
          <t>Assumption</t>
        </is>
      </c>
      <c r="B2" t="inlineStr">
        <is>
          <t>Value</t>
        </is>
      </c>
    </row>
    <row r="3">
      <c r="A3" t="inlineStr">
        <is>
          <t>Opening customers</t>
        </is>
      </c>
      <c r="B3" t="n">
        <v>1200</v>
      </c>
    </row>
    <row r="4">
      <c r="A4" t="inlineStr">
        <is>
          <t>Monthly new customers</t>
        </is>
      </c>
      <c r="B4" t="n">
        <v>85</v>
      </c>
    </row>
    <row r="5">
      <c r="A5" t="inlineStr">
        <is>
          <t>Monthly churn rate</t>
        </is>
      </c>
      <c r="B5" t="n">
        <v>0.021</v>
      </c>
    </row>
    <row r="6">
      <c r="A6" t="inlineStr">
        <is>
          <t>ARPU (TRY/month)</t>
        </is>
      </c>
      <c r="B6" t="n">
        <v>480</v>
      </c>
    </row>
    <row r="7">
      <c r="A7" t="inlineStr">
        <is>
          <t>Gross margin</t>
        </is>
      </c>
      <c r="B7" t="n">
        <v>0.62</v>
      </c>
    </row>
    <row r="8">
      <c r="A8" t="inlineStr">
        <is>
          <t>Headcount</t>
        </is>
      </c>
      <c r="B8" t="n">
        <v>6</v>
      </c>
    </row>
    <row r="9">
      <c r="A9" t="inlineStr">
        <is>
          <t>Average salary (TRY/month)</t>
        </is>
      </c>
      <c r="B9" t="n">
        <v>48000</v>
      </c>
    </row>
    <row r="10">
      <c r="A10" t="inlineStr">
        <is>
          <t>Marketing (TRY/month)</t>
        </is>
      </c>
      <c r="B10" t="n">
        <v>60000</v>
      </c>
    </row>
    <row r="11">
      <c r="A11" t="inlineStr">
        <is>
          <t>Office and other (TRY/month)</t>
        </is>
      </c>
      <c r="B11" t="n">
        <v>35000</v>
      </c>
    </row>
    <row r="12">
      <c r="A12" t="inlineStr">
        <is>
          <t>FX rate TRY/EUR</t>
        </is>
      </c>
      <c r="B12" t="n">
        <v>38.4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build</t>
        </is>
      </c>
    </row>
    <row r="3">
      <c r="A3" t="inlineStr">
        <is>
          <t>Month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  <c r="E3" t="inlineStr">
        <is>
          <t>Apr</t>
        </is>
      </c>
      <c r="F3" t="inlineStr">
        <is>
          <t>May</t>
        </is>
      </c>
      <c r="G3" t="inlineStr">
        <is>
          <t>Jun</t>
        </is>
      </c>
      <c r="H3" t="inlineStr">
        <is>
          <t>Jul</t>
        </is>
      </c>
      <c r="I3" t="inlineStr">
        <is>
          <t>Aug</t>
        </is>
      </c>
      <c r="J3" t="inlineStr">
        <is>
          <t>Sep</t>
        </is>
      </c>
      <c r="K3" t="inlineStr">
        <is>
          <t>Oct</t>
        </is>
      </c>
      <c r="L3" t="inlineStr">
        <is>
          <t>Nov</t>
        </is>
      </c>
      <c r="M3" t="inlineStr">
        <is>
          <t>Dec</t>
        </is>
      </c>
    </row>
    <row r="5">
      <c r="A5" t="inlineStr">
        <is>
          <t>Opening customers</t>
        </is>
      </c>
      <c r="B5">
        <f>Inputs!$B$3</f>
        <v/>
      </c>
      <c r="C5">
        <f>B9</f>
        <v/>
      </c>
      <c r="D5">
        <f>C9</f>
        <v/>
      </c>
      <c r="E5">
        <f>D9</f>
        <v/>
      </c>
      <c r="F5">
        <f>E9</f>
        <v/>
      </c>
      <c r="G5">
        <f>F9</f>
        <v/>
      </c>
      <c r="H5">
        <f>G9</f>
        <v/>
      </c>
      <c r="I5">
        <f>H9</f>
        <v/>
      </c>
      <c r="J5">
        <f>I9</f>
        <v/>
      </c>
      <c r="K5">
        <f>J9</f>
        <v/>
      </c>
      <c r="L5">
        <f>K9</f>
        <v/>
      </c>
      <c r="M5">
        <f>L9</f>
        <v/>
      </c>
    </row>
    <row r="6">
      <c r="A6" t="inlineStr">
        <is>
          <t>New customers</t>
        </is>
      </c>
      <c r="B6">
        <f>Inputs!$B$4</f>
        <v/>
      </c>
      <c r="C6">
        <f>Inputs!$B$4</f>
        <v/>
      </c>
      <c r="D6">
        <f>Inputs!$B$4</f>
        <v/>
      </c>
      <c r="E6">
        <f>Inputs!$B$4</f>
        <v/>
      </c>
      <c r="F6">
        <f>Inputs!$B$4</f>
        <v/>
      </c>
      <c r="G6">
        <f>Inputs!$B$4</f>
        <v/>
      </c>
      <c r="H6">
        <f>Inputs!$B$4</f>
        <v/>
      </c>
      <c r="I6">
        <f>Inputs!$B$4</f>
        <v/>
      </c>
      <c r="J6">
        <f>Inputs!$B$4</f>
        <v/>
      </c>
      <c r="K6">
        <f>Inputs!$B$4</f>
        <v/>
      </c>
      <c r="L6">
        <f>Inputs!$B$4</f>
        <v/>
      </c>
      <c r="M6">
        <f>Inputs!$B$4</f>
        <v/>
      </c>
    </row>
    <row r="7">
      <c r="A7" t="inlineStr">
        <is>
          <t>Churned customers</t>
        </is>
      </c>
      <c r="B7">
        <f>-B5*Inputs!$B$5</f>
        <v/>
      </c>
      <c r="C7">
        <f>-C5*Inputs!$B$5</f>
        <v/>
      </c>
      <c r="D7">
        <f>-D5*Inputs!$B$5</f>
        <v/>
      </c>
      <c r="E7">
        <f>-E5*Inputs!$B$5</f>
        <v/>
      </c>
      <c r="F7">
        <f>-F5*Inputs!$B$5</f>
        <v/>
      </c>
      <c r="G7">
        <f>-G5*Inputs!$B$5</f>
        <v/>
      </c>
      <c r="H7">
        <f>-H5*Inputs!$B$5</f>
        <v/>
      </c>
      <c r="I7">
        <f>-I5*Inputs!$B$5</f>
        <v/>
      </c>
      <c r="J7">
        <f>-J5*Inputs!$B$5</f>
        <v/>
      </c>
      <c r="K7">
        <f>-K5*Inputs!$B$5</f>
        <v/>
      </c>
      <c r="L7">
        <f>-L5*Inputs!$B$5</f>
        <v/>
      </c>
      <c r="M7">
        <f>-M5*Inputs!$B$5</f>
        <v/>
      </c>
    </row>
    <row r="9">
      <c r="A9" t="inlineStr">
        <is>
          <t>Ending customers</t>
        </is>
      </c>
      <c r="B9">
        <f>B5+B6+B7</f>
        <v/>
      </c>
      <c r="C9">
        <f>C5+C6+C7</f>
        <v/>
      </c>
      <c r="D9">
        <f>D5+D6+D7</f>
        <v/>
      </c>
      <c r="E9">
        <f>E5+E6+E7</f>
        <v/>
      </c>
      <c r="F9">
        <f>F5+F6+F7</f>
        <v/>
      </c>
      <c r="G9">
        <f>G5+G6+G7</f>
        <v/>
      </c>
      <c r="H9">
        <f>H5+H6+H7</f>
        <v/>
      </c>
      <c r="I9">
        <f>I5+I6+I7</f>
        <v/>
      </c>
      <c r="J9">
        <f>J5+J6+J7</f>
        <v/>
      </c>
      <c r="K9">
        <f>K5+K6+K7</f>
        <v/>
      </c>
      <c r="L9">
        <f>L5+L6+L7</f>
        <v/>
      </c>
      <c r="M9">
        <f>M5+M6+M7</f>
        <v/>
      </c>
    </row>
    <row r="11">
      <c r="A11" t="inlineStr">
        <is>
          <t>ARPU</t>
        </is>
      </c>
      <c r="B11">
        <f>Inputs!$B$6</f>
        <v/>
      </c>
      <c r="C11">
        <f>Inputs!$B$6</f>
        <v/>
      </c>
      <c r="D11">
        <f>Inputs!$B$6</f>
        <v/>
      </c>
      <c r="E11">
        <f>Inputs!$B$6</f>
        <v/>
      </c>
      <c r="F11">
        <f>Inputs!$B$6*1.06</f>
        <v/>
      </c>
      <c r="G11">
        <f>Inputs!$B$6</f>
        <v/>
      </c>
      <c r="H11">
        <f>Inputs!$B$6</f>
        <v/>
      </c>
      <c r="I11">
        <f>Inputs!$B$6</f>
        <v/>
      </c>
      <c r="J11">
        <f>Inputs!$B$6</f>
        <v/>
      </c>
      <c r="K11">
        <f>Inputs!$B$6</f>
        <v/>
      </c>
      <c r="L11">
        <f>Inputs!$B$6</f>
        <v/>
      </c>
      <c r="M11">
        <f>Inputs!$B$6</f>
        <v/>
      </c>
    </row>
    <row r="12">
      <c r="A12" t="inlineStr">
        <is>
          <t>Revenue</t>
        </is>
      </c>
      <c r="B12">
        <f>B9*B11</f>
        <v/>
      </c>
      <c r="C12">
        <f>C9*C11</f>
        <v/>
      </c>
      <c r="D12">
        <f>D9*D11</f>
        <v/>
      </c>
      <c r="E12">
        <f>E9*E11</f>
        <v/>
      </c>
      <c r="F12">
        <f>F9*F11</f>
        <v/>
      </c>
      <c r="G12">
        <f>G9*G11</f>
        <v/>
      </c>
      <c r="H12" t="n">
        <v>762000</v>
      </c>
      <c r="I12">
        <f>I9*I11</f>
        <v/>
      </c>
      <c r="J12">
        <f>J9*J11</f>
        <v/>
      </c>
      <c r="K12">
        <f>K9*K11</f>
        <v/>
      </c>
      <c r="L12">
        <f>L9*L11</f>
        <v/>
      </c>
      <c r="M12">
        <f>M9*M11</f>
        <v/>
      </c>
    </row>
    <row r="13">
      <c r="A13" t="inlineStr">
        <is>
          <t>Gross profit</t>
        </is>
      </c>
      <c r="B13">
        <f>B12*Inputs!$B$7</f>
        <v/>
      </c>
      <c r="C13">
        <f>C12*Inputs!$B$7</f>
        <v/>
      </c>
      <c r="D13">
        <f>D12*Inputs!$B$7</f>
        <v/>
      </c>
      <c r="E13">
        <f>E12*Inputs!$B$7</f>
        <v/>
      </c>
      <c r="F13">
        <f>F12*Inputs!$B$7</f>
        <v/>
      </c>
      <c r="G13">
        <f>G12*Inputs!$B$7</f>
        <v/>
      </c>
      <c r="H13">
        <f>H12*Inputs!$B$7</f>
        <v/>
      </c>
      <c r="I13">
        <f>I12*Inputs!$B$7</f>
        <v/>
      </c>
      <c r="J13">
        <f>J12*Inputs!$B$7</f>
        <v/>
      </c>
      <c r="K13">
        <f>K12*0.55</f>
        <v/>
      </c>
      <c r="L13">
        <f>L12*Inputs!$B$7</f>
        <v/>
      </c>
      <c r="M13">
        <f>M12*Inputs!$B$7</f>
        <v/>
      </c>
    </row>
    <row r="15">
      <c r="A15" t="inlineStr">
        <is>
          <t>Total revenue</t>
        </is>
      </c>
      <c r="B15">
        <f>SUM(B12:K12)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cost</t>
        </is>
      </c>
    </row>
    <row r="3">
      <c r="A3" t="inlineStr">
        <is>
          <t>Cost line</t>
        </is>
      </c>
      <c r="B3" t="inlineStr">
        <is>
          <t>TRY per month</t>
        </is>
      </c>
    </row>
    <row r="4">
      <c r="A4" t="inlineStr">
        <is>
          <t>Salaries</t>
        </is>
      </c>
      <c r="B4">
        <f>Inputs!$B$8*Inputs!$B$9</f>
        <v/>
      </c>
    </row>
    <row r="5">
      <c r="A5" t="inlineStr">
        <is>
          <t>Marketing</t>
        </is>
      </c>
      <c r="B5">
        <f>Inputs!$B$10</f>
        <v/>
      </c>
    </row>
    <row r="6">
      <c r="A6" t="inlineStr">
        <is>
          <t>Office and other</t>
        </is>
      </c>
      <c r="B6">
        <f>Inputs!$B$11</f>
        <v/>
      </c>
    </row>
    <row r="7">
      <c r="A7" t="inlineStr">
        <is>
          <t>Cloud hosting</t>
        </is>
      </c>
      <c r="B7">
        <f>Inputs!$B$3*13</f>
        <v/>
      </c>
    </row>
    <row r="8">
      <c r="A8" t="inlineStr">
        <is>
          <t>Tooling per seat</t>
        </is>
      </c>
      <c r="B8">
        <f>Inputs!$B$8*1800</f>
        <v/>
      </c>
    </row>
    <row r="9">
      <c r="A9" t="inlineStr">
        <is>
          <t>Software licences</t>
        </is>
      </c>
      <c r="B9">
        <f>Inputs!$B$8*42*Inputs!$B$12</f>
        <v/>
      </c>
    </row>
    <row r="10">
      <c r="A10" t="inlineStr">
        <is>
          <t>Travel</t>
        </is>
      </c>
      <c r="B10">
        <f>Inputs!$B$10*0.08</f>
        <v/>
      </c>
    </row>
    <row r="11">
      <c r="A11" t="inlineStr">
        <is>
          <t>Recruitment</t>
        </is>
      </c>
      <c r="B11" t="n">
        <v>18000</v>
      </c>
    </row>
    <row r="12">
      <c r="A12" t="inlineStr">
        <is>
          <t>Legal and audit</t>
        </is>
      </c>
      <c r="B12" t="n">
        <v>12000</v>
      </c>
    </row>
    <row r="13">
      <c r="A13" t="inlineStr">
        <is>
          <t>Total monthly cost</t>
        </is>
      </c>
      <c r="B13">
        <f>SUM(B4:B11)</f>
        <v/>
      </c>
    </row>
    <row r="15">
      <c r="A15" t="inlineStr">
        <is>
          <t>Annual cost</t>
        </is>
      </c>
      <c r="B15">
        <f>B13*12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FY2025 summary</t>
        </is>
      </c>
    </row>
    <row r="3">
      <c r="A3" t="inlineStr">
        <is>
          <t>Revenue</t>
        </is>
      </c>
      <c r="B3">
        <f>Revenue!B15</f>
        <v/>
      </c>
    </row>
    <row r="4">
      <c r="A4" t="inlineStr">
        <is>
          <t>Gross profit</t>
        </is>
      </c>
      <c r="B4">
        <f>SUM(Revenue!B13:M13)</f>
        <v/>
      </c>
    </row>
    <row r="5">
      <c r="A5" t="inlineStr">
        <is>
          <t>Operating cost</t>
        </is>
      </c>
      <c r="B5">
        <f>Costs!B15</f>
        <v/>
      </c>
    </row>
    <row r="6">
      <c r="A6" t="inlineStr">
        <is>
          <t>EBITDA</t>
        </is>
      </c>
      <c r="B6">
        <f>B4-B5</f>
        <v/>
      </c>
    </row>
    <row r="8">
      <c r="A8" t="inlineStr">
        <is>
          <t>EBITDA margin</t>
        </is>
      </c>
      <c r="B8">
        <f>B6/B3</f>
        <v/>
      </c>
    </row>
    <row r="10">
      <c r="A10" t="inlineStr">
        <is>
          <t>Ending customers</t>
        </is>
      </c>
      <c r="B10">
        <f>Revenue!M9</f>
        <v/>
      </c>
    </row>
    <row r="11">
      <c r="A11" t="inlineStr">
        <is>
          <t>Revenue per head</t>
        </is>
      </c>
      <c r="B11">
        <f>B3/Inputs!$B$8</f>
        <v/>
      </c>
    </row>
    <row r="13">
      <c r="A13" t="inlineStr">
        <is>
          <t>Prior-year revenue</t>
        </is>
      </c>
      <c r="B13">
        <f>'[Plan_2024.xlsx]Summary'!$B$3</f>
        <v/>
      </c>
    </row>
    <row r="14">
      <c r="A14" t="inlineStr">
        <is>
          <t>Growth vs prior year</t>
        </is>
      </c>
      <c r="B14">
        <f>B3/B13-1</f>
        <v/>
      </c>
    </row>
    <row r="16">
      <c r="A16" t="inlineStr">
        <is>
          <t>Legacy check</t>
        </is>
      </c>
      <c r="B16">
        <f>#REF!*1.15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upside case — do not use</t>
        </is>
      </c>
    </row>
    <row r="3">
      <c r="A3" t="inlineStr">
        <is>
          <t>Month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</row>
    <row r="4">
      <c r="B4">
        <f>Revenue!B12-Revenue!B13</f>
        <v/>
      </c>
      <c r="C4">
        <f>Revenue!C12-Revenue!C13</f>
        <v/>
      </c>
      <c r="D4">
        <f>Revenue!D12-Revenue!D13</f>
        <v/>
      </c>
    </row>
    <row r="5">
      <c r="B5">
        <f>Revenue!B12-Revenue!B13</f>
        <v/>
      </c>
      <c r="C5">
        <f>Revenue!C12-Revenue!C13</f>
        <v/>
      </c>
      <c r="D5">
        <f>Revenue!D12-Revenue!D13</f>
        <v/>
      </c>
    </row>
    <row r="6">
      <c r="B6">
        <f>Revenue!B12-Revenue!B13</f>
        <v/>
      </c>
      <c r="C6">
        <f>Revenue!C12-Revenue!C13</f>
        <v/>
      </c>
      <c r="D6">
        <f>Revenue!D12-Revenue!D13</f>
        <v/>
      </c>
    </row>
    <row r="7">
      <c r="B7">
        <f>Revenue!B12-Revenue!B13</f>
        <v/>
      </c>
      <c r="C7">
        <f>Revenue!C12-Revenue!C13</f>
        <v/>
      </c>
      <c r="D7">
        <f>Revenue!D12-Revenue!D13</f>
        <v/>
      </c>
    </row>
    <row r="8">
      <c r="B8">
        <f>Revenue!B12-Revenue!B13</f>
        <v/>
      </c>
      <c r="C8">
        <f>Revenue!C12-Revenue!C13</f>
        <v/>
      </c>
      <c r="D8">
        <f>Revenue!D12-Revenue!D13</f>
        <v/>
      </c>
    </row>
    <row r="9">
      <c r="B9">
        <f>Revenue!B12-Revenue!B13</f>
        <v/>
      </c>
      <c r="C9">
        <f>Revenue!C12-Revenue!C13</f>
        <v/>
      </c>
      <c r="D9">
        <f>Revenue!D12-Revenue!D13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2026-08-20T17:18:00Z</dcterms:created>
  <dcterms:modified xmlns:dcterms="http://purl.org/dc/terms/" xmlns:xsi="http://www.w3.org/2001/XMLSchema-instance" xsi:type="dcterms:W3CDTF">2026-08-20T17:18:00Z</dcterms:modified>
</cp:coreProperties>
</file>